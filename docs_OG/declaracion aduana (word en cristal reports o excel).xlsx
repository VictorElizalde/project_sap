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xr:revisionPtr revIDLastSave="0" documentId="8_{046FF0E9-1975-4338-A245-072173A5D427}" xr6:coauthVersionLast="47" xr6:coauthVersionMax="47" xr10:uidLastSave="{00000000-0000-0000-0000-000000000000}"/>
  <bookViews>
    <workbookView xWindow="780" yWindow="0" windowWidth="17520" windowHeight="12675" activeTab="1" xr2:uid="{00000000-000D-0000-FFFF-FFFF00000000}"/>
  </bookViews>
  <sheets>
    <sheet name="20151130-TC-2693-BQ_AQUARIS_M5_" sheetId="1" r:id="rId1"/>
    <sheet name="Albaran" sheetId="2" r:id="rId2"/>
  </sheets>
  <definedNames>
    <definedName name="_xlnm.Print_Area" localSheetId="1">Albaran!$B$2:$M$57</definedName>
    <definedName name="articulos">Albaran!$O$20:$P$30</definedName>
    <definedName name="tecuidamos">'20151130-TC-2693-BQ_AQUARIS_M5_'!$A$2:$V$6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2" l="1"/>
  <c r="M54" i="2" s="1"/>
  <c r="B6" i="1"/>
  <c r="B5" i="1"/>
  <c r="B4" i="1"/>
  <c r="V3" i="1"/>
  <c r="U3" i="1"/>
  <c r="T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B3" i="1"/>
  <c r="B2" i="1"/>
</calcChain>
</file>

<file path=xl/sharedStrings.xml><?xml version="1.0" encoding="utf-8"?>
<sst xmlns="http://schemas.openxmlformats.org/spreadsheetml/2006/main" count="124" uniqueCount="112">
  <si>
    <t>CODSORTEO</t>
  </si>
  <si>
    <t>FECINI</t>
  </si>
  <si>
    <t>FECFIN</t>
  </si>
  <si>
    <t>CODACCION</t>
  </si>
  <si>
    <t>DESACCION</t>
  </si>
  <si>
    <t>CODORIGEN</t>
  </si>
  <si>
    <t>NIF</t>
  </si>
  <si>
    <t>NOMBRE</t>
  </si>
  <si>
    <t>APELL1</t>
  </si>
  <si>
    <t>APELL2</t>
  </si>
  <si>
    <t>TELEFONOMOVIL</t>
  </si>
  <si>
    <t>EMAIL</t>
  </si>
  <si>
    <t>CODVIA</t>
  </si>
  <si>
    <t>NOMVIA</t>
  </si>
  <si>
    <t>NUMVIA</t>
  </si>
  <si>
    <t>COMVIA</t>
  </si>
  <si>
    <t>CODPOSTAL</t>
  </si>
  <si>
    <t>DESPOB</t>
  </si>
  <si>
    <t>DESPROV</t>
  </si>
  <si>
    <t>#</t>
  </si>
  <si>
    <t>Carta</t>
  </si>
  <si>
    <t>Nº Serie</t>
  </si>
  <si>
    <t>Eliptic Systems S.L.</t>
  </si>
  <si>
    <t>Telef. 931 125 442</t>
  </si>
  <si>
    <t>Inscrita en el Registro Mercantil de Barcelona, Tomo 28612, Folio 153, Hoja B-136314. CIF: B60954823</t>
  </si>
  <si>
    <t>Fecha</t>
  </si>
  <si>
    <t>Cliente</t>
  </si>
  <si>
    <t>Hoja</t>
  </si>
  <si>
    <t>Lin</t>
  </si>
  <si>
    <t>Artículo</t>
  </si>
  <si>
    <t>Descripción</t>
  </si>
  <si>
    <t>Cantidad</t>
  </si>
  <si>
    <t>UN</t>
  </si>
  <si>
    <t>Precio</t>
  </si>
  <si>
    <t>Dtos.</t>
  </si>
  <si>
    <t>Importe</t>
  </si>
  <si>
    <t>Forma de pago:</t>
  </si>
  <si>
    <t>Portes</t>
  </si>
  <si>
    <t>Bultos</t>
  </si>
  <si>
    <t>TV SAMSUNG 43" 4K</t>
  </si>
  <si>
    <t>TC</t>
  </si>
  <si>
    <t>CL</t>
  </si>
  <si>
    <t>34556429X</t>
  </si>
  <si>
    <t>CAMILO</t>
  </si>
  <si>
    <t>OPAZO</t>
  </si>
  <si>
    <t>CAMPOS</t>
  </si>
  <si>
    <t>camiloopazo46@hotmail.com</t>
  </si>
  <si>
    <t>RAMON PUGA</t>
  </si>
  <si>
    <t>4ºE</t>
  </si>
  <si>
    <t>OURENSE</t>
  </si>
  <si>
    <t>ORENSE</t>
  </si>
  <si>
    <t>TOLEDO</t>
  </si>
  <si>
    <t>03779461D</t>
  </si>
  <si>
    <t>JUAN</t>
  </si>
  <si>
    <t>FERNANDEZ PRIETO</t>
  </si>
  <si>
    <t>GUTIERREZ</t>
  </si>
  <si>
    <t>juanfdezprieto@gmail.com</t>
  </si>
  <si>
    <t>RONDA BUENAVISTA</t>
  </si>
  <si>
    <t>ptal. 1, 4º D</t>
  </si>
  <si>
    <t>22726073A</t>
  </si>
  <si>
    <t>JOSE IGNACIO</t>
  </si>
  <si>
    <t>CELADA</t>
  </si>
  <si>
    <t>FRIAS</t>
  </si>
  <si>
    <t>jicelada@hotmail.es</t>
  </si>
  <si>
    <t>CRTA.TORREJON</t>
  </si>
  <si>
    <t>URB. PLYA III, PTO.301</t>
  </si>
  <si>
    <t>TORREVIEJA</t>
  </si>
  <si>
    <t>ALICANTE</t>
  </si>
  <si>
    <t>33284196E</t>
  </si>
  <si>
    <t>JOSE MARTIN</t>
  </si>
  <si>
    <t>BRAVO</t>
  </si>
  <si>
    <t>COLLAZO</t>
  </si>
  <si>
    <t>mym6971@hotmail.com</t>
  </si>
  <si>
    <t>CHIMIDAS</t>
  </si>
  <si>
    <t>APARTAMENTO 3</t>
  </si>
  <si>
    <t>PLAYA HONDA</t>
  </si>
  <si>
    <t>LAS PALMAS</t>
  </si>
  <si>
    <t>0bwx3scm602207</t>
  </si>
  <si>
    <t>0bwx3scm602211</t>
  </si>
  <si>
    <t>0bwx3scm602212</t>
  </si>
  <si>
    <t>0bwx3scm604192</t>
  </si>
  <si>
    <t>0BWX3SFM500672</t>
  </si>
  <si>
    <t>París, 184. 3º 2º - 08036 - Barcelona</t>
  </si>
  <si>
    <t>**MARITIMO**</t>
  </si>
  <si>
    <t>**DECLARACION DE CONTENIDO**</t>
  </si>
  <si>
    <t>AGENTE</t>
  </si>
  <si>
    <t>ELIPTIC SYSTEMS SL</t>
  </si>
  <si>
    <t>AVD. ISLAS CANARIAS 4 3º PLANTA</t>
  </si>
  <si>
    <t>SANTA CRUZ DE TENERIFE</t>
  </si>
  <si>
    <t xml:space="preserve">N/Pedido:  </t>
  </si>
  <si>
    <t>B60954823</t>
  </si>
  <si>
    <t>Pagados</t>
  </si>
  <si>
    <t>ATT-</t>
  </si>
  <si>
    <t>FACTURA</t>
  </si>
  <si>
    <t>IMPORTE</t>
  </si>
  <si>
    <t xml:space="preserve">Nº BULTOS: </t>
  </si>
  <si>
    <t>Entrega en:</t>
  </si>
  <si>
    <t>Forma de Envio: maritimo</t>
  </si>
  <si>
    <t>TFL.</t>
  </si>
  <si>
    <t>Agente 23 1011</t>
  </si>
  <si>
    <t>S/Ref.S/P 28/08/25</t>
  </si>
  <si>
    <t>MANTENIMIENTO</t>
  </si>
  <si>
    <t>43HFL5214U/12</t>
  </si>
  <si>
    <t>PRO-TV 43" MEDIASUITE CHROMECAST PHILIPS</t>
  </si>
  <si>
    <t>25-002399</t>
  </si>
  <si>
    <t>MOGAN NEGOCIOS SL</t>
  </si>
  <si>
    <t>225-2445</t>
  </si>
  <si>
    <t>CORDIAL MUELLE VIEJO</t>
  </si>
  <si>
    <t>C/LA PUNTILLA 2-4</t>
  </si>
  <si>
    <t>35138 PLAYA DE MOGAN</t>
  </si>
  <si>
    <t>DDP LAS PALMAS</t>
  </si>
  <si>
    <t>PESO: 30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</si>
</sst>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€&quot;;\-#,##0.00\ &quot;€&quot;"/>
    <numFmt numFmtId="43" formatCode="_-* #,##0.00_-;\-* #,##0.00_-;_-* &quot;-&quot;??_-;_-@_-"/>
    <numFmt numFmtId="164" formatCode="dd/mm/yy;@"/>
    <numFmt numFmtId="165" formatCode="#,##0.00\ &quot;€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18" fillId="0" borderId="10" xfId="0" applyFont="1" applyBorder="1"/>
    <xf numFmtId="0" fontId="0" fillId="0" borderId="10" xfId="0" applyBorder="1"/>
    <xf numFmtId="0" fontId="19" fillId="0" borderId="0" xfId="0" applyFont="1"/>
    <xf numFmtId="0" fontId="0" fillId="0" borderId="0" xfId="0" applyAlignment="1">
      <alignment horizontal="left"/>
    </xf>
    <xf numFmtId="0" fontId="20" fillId="0" borderId="0" xfId="0" applyFont="1"/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/>
    <xf numFmtId="0" fontId="0" fillId="0" borderId="12" xfId="0" applyBorder="1"/>
    <xf numFmtId="0" fontId="0" fillId="0" borderId="19" xfId="0" applyBorder="1"/>
    <xf numFmtId="0" fontId="0" fillId="0" borderId="0" xfId="0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16" xfId="0" applyBorder="1"/>
    <xf numFmtId="0" fontId="0" fillId="0" borderId="11" xfId="0" applyBorder="1" applyAlignment="1">
      <alignment horizontal="left" indent="2"/>
    </xf>
    <xf numFmtId="0" fontId="0" fillId="0" borderId="18" xfId="0" applyBorder="1" applyAlignment="1">
      <alignment horizontal="left" indent="2"/>
    </xf>
    <xf numFmtId="0" fontId="0" fillId="0" borderId="15" xfId="0" applyBorder="1" applyAlignment="1">
      <alignment horizontal="left" vertical="center" indent="2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3" xfId="0" applyBorder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41" xfId="0" applyBorder="1"/>
    <xf numFmtId="0" fontId="0" fillId="0" borderId="42" xfId="0" applyBorder="1"/>
    <xf numFmtId="0" fontId="0" fillId="0" borderId="34" xfId="0" applyBorder="1" applyAlignment="1">
      <alignment horizontal="center"/>
    </xf>
    <xf numFmtId="43" fontId="0" fillId="0" borderId="29" xfId="42" applyFont="1" applyBorder="1"/>
    <xf numFmtId="0" fontId="0" fillId="0" borderId="18" xfId="0" applyBorder="1" applyAlignment="1">
      <alignment horizontal="left" vertical="center" indent="2"/>
    </xf>
    <xf numFmtId="43" fontId="0" fillId="0" borderId="28" xfId="42" applyFont="1" applyBorder="1"/>
    <xf numFmtId="164" fontId="0" fillId="0" borderId="28" xfId="0" applyNumberFormat="1" applyBorder="1" applyAlignment="1">
      <alignment horizontal="center" vertical="center"/>
    </xf>
    <xf numFmtId="2" fontId="0" fillId="0" borderId="29" xfId="0" applyNumberFormat="1" applyBorder="1"/>
    <xf numFmtId="0" fontId="0" fillId="0" borderId="11" xfId="0" applyBorder="1" applyAlignment="1">
      <alignment horizontal="left"/>
    </xf>
    <xf numFmtId="0" fontId="0" fillId="0" borderId="15" xfId="0" applyBorder="1"/>
    <xf numFmtId="0" fontId="0" fillId="0" borderId="20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8" xfId="0" applyBorder="1" applyAlignment="1">
      <alignment horizontal="left"/>
    </xf>
    <xf numFmtId="0" fontId="0" fillId="0" borderId="43" xfId="0" applyBorder="1"/>
    <xf numFmtId="165" fontId="0" fillId="0" borderId="29" xfId="0" applyNumberFormat="1" applyBorder="1"/>
    <xf numFmtId="7" fontId="0" fillId="0" borderId="35" xfId="42" applyNumberFormat="1" applyFont="1" applyBorder="1"/>
    <xf numFmtId="14" fontId="0" fillId="0" borderId="20" xfId="0" applyNumberFormat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19" xfId="0" applyBorder="1" applyAlignment="1">
      <alignment horizontal="left" vertical="center" indent="2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18" xfId="0" applyNumberFormat="1" applyBorder="1" applyAlignment="1">
      <alignment horizontal="left"/>
    </xf>
    <xf numFmtId="49" fontId="0" fillId="0" borderId="19" xfId="0" applyNumberFormat="1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xr:uid="{00000000-0005-0000-0000-00000C000000}"/>
    <cellStyle name="60% - Énfasis2" xfId="25" xr:uid="{00000000-0005-0000-0000-00000D000000}"/>
    <cellStyle name="60% - Énfasis3" xfId="29" xr:uid="{00000000-0005-0000-0000-00000E000000}"/>
    <cellStyle name="60% - Énfasis4" xfId="33" xr:uid="{00000000-0005-0000-0000-00000F000000}"/>
    <cellStyle name="60% - Énfasis5" xfId="37" xr:uid="{00000000-0005-0000-0000-000010000000}"/>
    <cellStyle name="60% - Énfasis6" xfId="41" xr:uid="{00000000-0005-0000-0000-000011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xr:uid="{00000000-0005-0000-0000-000020000000}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xr:uid="{00000000-0005-0000-0000-000026000000}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88446</xdr:colOff>
      <xdr:row>1</xdr:row>
      <xdr:rowOff>66675</xdr:rowOff>
    </xdr:from>
    <xdr:to>
      <xdr:col>4</xdr:col>
      <xdr:colOff>129889</xdr:colOff>
      <xdr:row>5</xdr:row>
      <xdr:rowOff>152401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25" r="11499"/>
        <a:stretch/>
      </xdr:blipFill>
      <xdr:spPr>
        <a:xfrm>
          <a:off x="850446" y="257175"/>
          <a:ext cx="1912425" cy="1057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workbookViewId="0">
      <selection activeCell="D12" sqref="D12"/>
    </sheetView>
  </sheetViews>
  <sheetFormatPr baseColWidth="10" defaultRowHeight="15" x14ac:dyDescent="0.25"/>
  <cols>
    <col min="1" max="1" width="11.42578125" style="1"/>
  </cols>
  <sheetData>
    <row r="1" spans="1:22" x14ac:dyDescent="0.25">
      <c r="A1" s="2" t="s">
        <v>19</v>
      </c>
      <c r="B1" s="3" t="s">
        <v>20</v>
      </c>
      <c r="C1" s="3" t="s">
        <v>21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5">
      <c r="A2" s="2">
        <v>1</v>
      </c>
      <c r="B2" s="3" t="str">
        <f>CONCATENATE("D. ",K2," ",L2," ",M2," con NIF ",J2,", como ganador/a resultante del premio sorteado por el Programa teCuidamos en los sorteos vigentes de los meses de enero y febrero de 2019, ha recibido un ",H2," (nº de serie ",C2,").")</f>
        <v>D. CAMILO OPAZO CAMPOS con NIF 34556429X, como ganador/a resultante del premio sorteado por el Programa teCuidamos en los sorteos vigentes de los meses de enero y febrero de 2019, ha recibido un TV SAMSUNG 43" 4K (nº de serie 0bwx3scm602207).</v>
      </c>
      <c r="C2" t="s">
        <v>77</v>
      </c>
      <c r="D2">
        <v>2958</v>
      </c>
      <c r="E2">
        <v>20190901</v>
      </c>
      <c r="F2">
        <v>20191031</v>
      </c>
      <c r="G2">
        <v>2837</v>
      </c>
      <c r="H2" t="s">
        <v>39</v>
      </c>
      <c r="I2" t="s">
        <v>40</v>
      </c>
      <c r="J2" t="s">
        <v>42</v>
      </c>
      <c r="K2" t="s">
        <v>43</v>
      </c>
      <c r="L2" t="s">
        <v>44</v>
      </c>
      <c r="M2" t="s">
        <v>45</v>
      </c>
      <c r="N2">
        <v>639970160</v>
      </c>
      <c r="O2" t="s">
        <v>46</v>
      </c>
      <c r="P2" t="s">
        <v>41</v>
      </c>
      <c r="Q2" t="s">
        <v>47</v>
      </c>
      <c r="R2">
        <v>11</v>
      </c>
      <c r="S2" t="s">
        <v>48</v>
      </c>
      <c r="T2">
        <v>32005</v>
      </c>
      <c r="U2" t="s">
        <v>49</v>
      </c>
      <c r="V2" t="s">
        <v>50</v>
      </c>
    </row>
    <row r="3" spans="1:22" x14ac:dyDescent="0.25">
      <c r="A3" s="2">
        <v>2</v>
      </c>
      <c r="B3" s="3" t="str">
        <f t="shared" ref="B3:B6" si="0">CONCATENATE("D. ",K3," ",L3," ",M3," con NIF ",J3,", como ganador/a resultante del premio sorteado por el Programa teCuidamos en los sorteos vigentes de los meses de enero y febrero de 2019, ha recibido un ",H3," (nº de serie ",C3,").")</f>
        <v>D. JOSE LUIS GIL MARTINEZ con NIF 00825667J, como ganador/a resultante del premio sorteado por el Programa teCuidamos en los sorteos vigentes de los meses de enero y febrero de 2019, ha recibido un TV SAMSUNG 65" (nº de serie 0bwx3scm602211).</v>
      </c>
      <c r="C3" t="s">
        <v>78</v>
      </c>
      <c r="D3" t="str">
        <f>"3049"</f>
        <v>3049</v>
      </c>
      <c r="E3" t="str">
        <f>"20210101"</f>
        <v>20210101</v>
      </c>
      <c r="F3" t="str">
        <f>"20210228"</f>
        <v>20210228</v>
      </c>
      <c r="G3" t="str">
        <f>"2848"</f>
        <v>2848</v>
      </c>
      <c r="H3" t="str">
        <f>"TV SAMSUNG 65"""</f>
        <v>TV SAMSUNG 65"</v>
      </c>
      <c r="I3" t="str">
        <f>"TC"</f>
        <v>TC</v>
      </c>
      <c r="J3" t="str">
        <f>"00825667J"</f>
        <v>00825667J</v>
      </c>
      <c r="K3" t="str">
        <f>"JOSE LUIS"</f>
        <v>JOSE LUIS</v>
      </c>
      <c r="L3" t="str">
        <f>"GIL"</f>
        <v>GIL</v>
      </c>
      <c r="M3" t="str">
        <f>"MARTINEZ"</f>
        <v>MARTINEZ</v>
      </c>
      <c r="N3" t="str">
        <f>"650036410"</f>
        <v>650036410</v>
      </c>
      <c r="O3" t="str">
        <f>"gilmjl@hotmail.com"</f>
        <v>gilmjl@hotmail.com</v>
      </c>
      <c r="P3" t="str">
        <f>"CL"</f>
        <v>CL</v>
      </c>
      <c r="Q3" t="str">
        <f>"GOYA"</f>
        <v>GOYA</v>
      </c>
      <c r="R3" t="str">
        <f>"8"</f>
        <v>8</v>
      </c>
      <c r="T3" t="str">
        <f>"28860"</f>
        <v>28860</v>
      </c>
      <c r="U3" t="str">
        <f>"Paracuellos de Jarama"</f>
        <v>Paracuellos de Jarama</v>
      </c>
      <c r="V3" t="str">
        <f>"MADRID"</f>
        <v>MADRID</v>
      </c>
    </row>
    <row r="4" spans="1:22" x14ac:dyDescent="0.25">
      <c r="A4" s="2">
        <v>3</v>
      </c>
      <c r="B4" s="3" t="str">
        <f t="shared" si="0"/>
        <v>D. JUAN FERNANDEZ PRIETO GUTIERREZ con NIF 03779461D, como ganador/a resultante del premio sorteado por el Programa teCuidamos en los sorteos vigentes de los meses de enero y febrero de 2019, ha recibido un TV SAMSUNG 43" 4K (nº de serie 0bwx3scm602212).</v>
      </c>
      <c r="C4" t="s">
        <v>79</v>
      </c>
      <c r="D4">
        <v>2958</v>
      </c>
      <c r="E4">
        <v>20190901</v>
      </c>
      <c r="F4">
        <v>20191031</v>
      </c>
      <c r="G4">
        <v>2837</v>
      </c>
      <c r="H4" t="s">
        <v>39</v>
      </c>
      <c r="I4" t="s">
        <v>40</v>
      </c>
      <c r="J4" t="s">
        <v>52</v>
      </c>
      <c r="K4" t="s">
        <v>53</v>
      </c>
      <c r="L4" t="s">
        <v>54</v>
      </c>
      <c r="M4" t="s">
        <v>55</v>
      </c>
      <c r="N4">
        <v>617225041</v>
      </c>
      <c r="O4" t="s">
        <v>56</v>
      </c>
      <c r="P4" t="s">
        <v>41</v>
      </c>
      <c r="Q4" t="s">
        <v>57</v>
      </c>
      <c r="R4">
        <v>20</v>
      </c>
      <c r="S4" t="s">
        <v>58</v>
      </c>
      <c r="T4">
        <v>45005</v>
      </c>
      <c r="U4" t="s">
        <v>51</v>
      </c>
      <c r="V4" t="s">
        <v>51</v>
      </c>
    </row>
    <row r="5" spans="1:22" x14ac:dyDescent="0.25">
      <c r="A5" s="2">
        <v>4</v>
      </c>
      <c r="B5" s="3" t="str">
        <f t="shared" si="0"/>
        <v>D. JOSE IGNACIO CELADA FRIAS con NIF 22726073A, como ganador/a resultante del premio sorteado por el Programa teCuidamos en los sorteos vigentes de los meses de enero y febrero de 2019, ha recibido un TV SAMSUNG 43" 4K (nº de serie 0bwx3scm604192).</v>
      </c>
      <c r="C5" t="s">
        <v>80</v>
      </c>
      <c r="D5">
        <v>2958</v>
      </c>
      <c r="E5">
        <v>20190901</v>
      </c>
      <c r="F5">
        <v>20191031</v>
      </c>
      <c r="G5">
        <v>2837</v>
      </c>
      <c r="H5" t="s">
        <v>39</v>
      </c>
      <c r="I5" t="s">
        <v>40</v>
      </c>
      <c r="J5" t="s">
        <v>59</v>
      </c>
      <c r="K5" t="s">
        <v>60</v>
      </c>
      <c r="L5" t="s">
        <v>61</v>
      </c>
      <c r="M5" t="s">
        <v>62</v>
      </c>
      <c r="N5">
        <v>615367550</v>
      </c>
      <c r="O5" t="s">
        <v>63</v>
      </c>
      <c r="P5" t="s">
        <v>41</v>
      </c>
      <c r="Q5" t="s">
        <v>64</v>
      </c>
      <c r="R5">
        <v>10</v>
      </c>
      <c r="S5" t="s">
        <v>65</v>
      </c>
      <c r="T5">
        <v>3188</v>
      </c>
      <c r="U5" t="s">
        <v>66</v>
      </c>
      <c r="V5" t="s">
        <v>67</v>
      </c>
    </row>
    <row r="6" spans="1:22" x14ac:dyDescent="0.25">
      <c r="A6" s="2">
        <v>5</v>
      </c>
      <c r="B6" s="3" t="str">
        <f t="shared" si="0"/>
        <v>D. JOSE MARTIN BRAVO COLLAZO con NIF 33284196E, como ganador/a resultante del premio sorteado por el Programa teCuidamos en los sorteos vigentes de los meses de enero y febrero de 2019, ha recibido un TV SAMSUNG 43" 4K (nº de serie 0BWX3SFM500672).</v>
      </c>
      <c r="C6" t="s">
        <v>81</v>
      </c>
      <c r="D6">
        <v>2958</v>
      </c>
      <c r="E6">
        <v>20190901</v>
      </c>
      <c r="F6">
        <v>20191031</v>
      </c>
      <c r="G6">
        <v>2837</v>
      </c>
      <c r="H6" t="s">
        <v>39</v>
      </c>
      <c r="I6" t="s">
        <v>40</v>
      </c>
      <c r="J6" t="s">
        <v>68</v>
      </c>
      <c r="K6" t="s">
        <v>69</v>
      </c>
      <c r="L6" t="s">
        <v>70</v>
      </c>
      <c r="M6" t="s">
        <v>71</v>
      </c>
      <c r="N6">
        <v>607681464</v>
      </c>
      <c r="O6" t="s">
        <v>72</v>
      </c>
      <c r="P6" t="s">
        <v>41</v>
      </c>
      <c r="Q6" t="s">
        <v>73</v>
      </c>
      <c r="R6">
        <v>16</v>
      </c>
      <c r="S6" t="s">
        <v>74</v>
      </c>
      <c r="T6">
        <v>35509</v>
      </c>
      <c r="U6" t="s">
        <v>75</v>
      </c>
      <c r="V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P55"/>
  <sheetViews>
    <sheetView showGridLines="0" tabSelected="1" view="pageBreakPreview" topLeftCell="A7" zoomScale="70" zoomScaleNormal="70" zoomScaleSheetLayoutView="70" workbookViewId="0">
      <selection activeCell="H43" sqref="H43"/>
    </sheetView>
  </sheetViews>
  <sheetFormatPr baseColWidth="10" defaultRowHeight="15" x14ac:dyDescent="0.25"/>
  <cols>
    <col min="2" max="3" width="5.85546875" customWidth="1"/>
    <col min="4" max="4" width="16.28515625" customWidth="1"/>
    <col min="7" max="7" width="8" customWidth="1"/>
    <col min="8" max="8" width="21.140625" customWidth="1"/>
    <col min="9" max="9" width="14.85546875" bestFit="1" customWidth="1"/>
    <col min="10" max="10" width="4.140625" customWidth="1"/>
    <col min="12" max="12" width="7.42578125" customWidth="1"/>
    <col min="13" max="13" width="12.85546875" customWidth="1"/>
    <col min="14" max="14" width="12.7109375" customWidth="1"/>
    <col min="15" max="15" width="14.85546875" customWidth="1"/>
  </cols>
  <sheetData>
    <row r="3" spans="2:16" ht="24" thickBot="1" x14ac:dyDescent="0.4">
      <c r="F3" s="4" t="s">
        <v>22</v>
      </c>
      <c r="G3" s="5"/>
      <c r="H3" s="5"/>
      <c r="I3" s="5"/>
      <c r="J3" s="5"/>
      <c r="K3" s="5"/>
      <c r="L3" s="5"/>
      <c r="M3" s="5"/>
    </row>
    <row r="4" spans="2:16" ht="21.75" customHeight="1" x14ac:dyDescent="0.25">
      <c r="F4" s="6" t="s">
        <v>82</v>
      </c>
    </row>
    <row r="5" spans="2:16" ht="15.75" x14ac:dyDescent="0.25">
      <c r="F5" s="6" t="s">
        <v>23</v>
      </c>
      <c r="P5" s="7"/>
    </row>
    <row r="6" spans="2:16" x14ac:dyDescent="0.25">
      <c r="F6" s="8" t="s">
        <v>24</v>
      </c>
    </row>
    <row r="7" spans="2:16" x14ac:dyDescent="0.25">
      <c r="P7" s="7"/>
    </row>
    <row r="8" spans="2:16" x14ac:dyDescent="0.25">
      <c r="P8" s="7"/>
    </row>
    <row r="9" spans="2:16" x14ac:dyDescent="0.25">
      <c r="P9" s="7"/>
    </row>
    <row r="10" spans="2:16" x14ac:dyDescent="0.25">
      <c r="P10" s="7"/>
    </row>
    <row r="11" spans="2:16" x14ac:dyDescent="0.25">
      <c r="P11" s="7"/>
    </row>
    <row r="12" spans="2:16" s="10" customFormat="1" ht="20.25" customHeight="1" x14ac:dyDescent="0.25">
      <c r="B12" s="66" t="s">
        <v>93</v>
      </c>
      <c r="C12" s="67"/>
      <c r="D12" s="9" t="s">
        <v>25</v>
      </c>
      <c r="E12" s="9" t="s">
        <v>26</v>
      </c>
      <c r="F12" s="9" t="s">
        <v>27</v>
      </c>
      <c r="H12" s="11"/>
      <c r="I12" s="12"/>
      <c r="J12" s="12"/>
      <c r="K12" s="12"/>
      <c r="L12" s="12"/>
      <c r="M12" s="13"/>
      <c r="O12" s="14"/>
      <c r="P12" s="7"/>
    </row>
    <row r="13" spans="2:16" s="10" customFormat="1" ht="20.25" customHeight="1" x14ac:dyDescent="0.25">
      <c r="B13" s="68" t="s">
        <v>104</v>
      </c>
      <c r="C13" s="69"/>
      <c r="D13" s="52">
        <v>45898</v>
      </c>
      <c r="E13" s="15">
        <v>12138</v>
      </c>
      <c r="F13" s="15">
        <v>1</v>
      </c>
      <c r="H13" s="70" t="s">
        <v>86</v>
      </c>
      <c r="I13" s="71"/>
      <c r="J13" s="71"/>
      <c r="K13" s="71"/>
      <c r="L13" s="71"/>
      <c r="M13" s="72"/>
      <c r="O13" s="14"/>
      <c r="P13" s="7"/>
    </row>
    <row r="14" spans="2:16" ht="20.25" customHeight="1" x14ac:dyDescent="0.25">
      <c r="B14" s="66" t="s">
        <v>6</v>
      </c>
      <c r="C14" s="80"/>
      <c r="D14" s="67"/>
      <c r="E14" s="9"/>
      <c r="F14" s="9" t="s">
        <v>85</v>
      </c>
      <c r="H14" s="70" t="s">
        <v>87</v>
      </c>
      <c r="I14" s="71"/>
      <c r="J14" s="71"/>
      <c r="K14" s="71"/>
      <c r="L14" s="71"/>
      <c r="M14" s="72"/>
      <c r="O14" s="7"/>
      <c r="P14" s="7"/>
    </row>
    <row r="15" spans="2:16" ht="20.25" customHeight="1" x14ac:dyDescent="0.25">
      <c r="B15" s="81" t="s">
        <v>90</v>
      </c>
      <c r="C15" s="82"/>
      <c r="D15" s="83"/>
      <c r="E15" s="15"/>
      <c r="F15" s="15">
        <v>23</v>
      </c>
      <c r="H15" s="50">
        <v>38006</v>
      </c>
      <c r="I15" s="19"/>
      <c r="J15" s="19"/>
      <c r="M15" s="18"/>
      <c r="O15" s="7"/>
      <c r="P15" s="7"/>
    </row>
    <row r="16" spans="2:16" ht="20.25" customHeight="1" x14ac:dyDescent="0.25">
      <c r="B16" s="54" t="s">
        <v>97</v>
      </c>
      <c r="C16" s="16"/>
      <c r="D16" s="16"/>
      <c r="E16" s="16"/>
      <c r="F16" s="17"/>
      <c r="H16" s="50" t="s">
        <v>88</v>
      </c>
      <c r="M16" s="18"/>
      <c r="O16" s="7"/>
      <c r="P16" s="7"/>
    </row>
    <row r="17" spans="2:15" ht="20.25" customHeight="1" x14ac:dyDescent="0.25">
      <c r="B17" s="20"/>
      <c r="F17" s="18"/>
      <c r="H17" s="50"/>
      <c r="I17" s="21"/>
      <c r="J17" s="21"/>
      <c r="K17" s="21"/>
      <c r="L17" s="21"/>
      <c r="M17" s="22"/>
      <c r="O17" s="7"/>
    </row>
    <row r="18" spans="2:15" ht="20.25" customHeight="1" x14ac:dyDescent="0.25">
      <c r="B18" s="55"/>
      <c r="C18" s="56"/>
      <c r="D18" s="21"/>
      <c r="E18" s="21"/>
      <c r="F18" s="22"/>
      <c r="H18" s="23" t="s">
        <v>105</v>
      </c>
      <c r="I18" s="16"/>
      <c r="J18" s="16"/>
      <c r="K18" s="16"/>
      <c r="L18" s="16"/>
      <c r="M18" s="17"/>
      <c r="O18" s="7"/>
    </row>
    <row r="19" spans="2:15" ht="20.25" customHeight="1" x14ac:dyDescent="0.25">
      <c r="B19" s="54"/>
      <c r="C19" s="57"/>
      <c r="D19" s="16"/>
      <c r="E19" s="16"/>
      <c r="F19" s="17"/>
      <c r="H19" s="24" t="s">
        <v>100</v>
      </c>
      <c r="I19" s="63"/>
      <c r="M19" s="18"/>
      <c r="O19" s="7"/>
    </row>
    <row r="20" spans="2:15" ht="20.25" customHeight="1" x14ac:dyDescent="0.25">
      <c r="B20" s="20" t="s">
        <v>92</v>
      </c>
      <c r="C20" t="s">
        <v>101</v>
      </c>
      <c r="F20" s="18"/>
      <c r="H20" s="24" t="s">
        <v>99</v>
      </c>
      <c r="I20" s="7"/>
      <c r="M20" s="18"/>
      <c r="O20" s="7"/>
    </row>
    <row r="21" spans="2:15" ht="24" customHeight="1" x14ac:dyDescent="0.25">
      <c r="B21" s="55" t="s">
        <v>98</v>
      </c>
      <c r="C21" s="82">
        <v>928143393</v>
      </c>
      <c r="D21" s="82"/>
      <c r="E21" s="21"/>
      <c r="F21" s="22"/>
      <c r="H21" s="25" t="s">
        <v>89</v>
      </c>
      <c r="I21" s="62" t="s">
        <v>106</v>
      </c>
      <c r="J21" s="26"/>
      <c r="K21" s="26"/>
      <c r="L21" s="26"/>
      <c r="M21" s="27"/>
      <c r="O21" s="7"/>
    </row>
    <row r="22" spans="2:15" x14ac:dyDescent="0.25">
      <c r="O22" s="7"/>
    </row>
    <row r="23" spans="2:15" ht="15.75" thickBot="1" x14ac:dyDescent="0.3">
      <c r="I23" s="39"/>
      <c r="O23" s="7"/>
    </row>
    <row r="24" spans="2:15" ht="15.75" thickTop="1" x14ac:dyDescent="0.25">
      <c r="B24" s="28" t="s">
        <v>28</v>
      </c>
      <c r="C24" s="73" t="s">
        <v>29</v>
      </c>
      <c r="D24" s="74"/>
      <c r="E24" s="29" t="s">
        <v>30</v>
      </c>
      <c r="F24" s="30"/>
      <c r="G24" s="30"/>
      <c r="H24" s="59"/>
      <c r="I24" s="31" t="s">
        <v>31</v>
      </c>
      <c r="J24" s="31" t="s">
        <v>32</v>
      </c>
      <c r="K24" s="31" t="s">
        <v>33</v>
      </c>
      <c r="L24" s="31" t="s">
        <v>34</v>
      </c>
      <c r="M24" s="32" t="s">
        <v>35</v>
      </c>
      <c r="O24" s="7"/>
    </row>
    <row r="25" spans="2:15" x14ac:dyDescent="0.25">
      <c r="B25" s="33"/>
      <c r="C25" s="75"/>
      <c r="D25" s="76"/>
      <c r="E25" s="20"/>
      <c r="H25" s="18"/>
      <c r="I25" s="34"/>
      <c r="J25" s="35"/>
      <c r="K25" s="49"/>
      <c r="L25" s="35"/>
      <c r="M25" s="49"/>
    </row>
    <row r="26" spans="2:15" x14ac:dyDescent="0.25">
      <c r="B26" s="33"/>
      <c r="C26" s="64"/>
      <c r="D26" s="77"/>
      <c r="E26" s="20" t="s">
        <v>96</v>
      </c>
      <c r="H26" s="18"/>
      <c r="I26" s="34"/>
      <c r="J26" s="35"/>
      <c r="K26" s="35"/>
      <c r="L26" s="35"/>
      <c r="M26" s="36"/>
    </row>
    <row r="27" spans="2:15" x14ac:dyDescent="0.25">
      <c r="B27" s="33"/>
      <c r="C27" s="64"/>
      <c r="D27" s="65"/>
      <c r="E27" s="58"/>
      <c r="H27" s="18"/>
      <c r="I27" s="34"/>
      <c r="J27" s="35"/>
      <c r="K27" s="35"/>
      <c r="L27" s="35"/>
      <c r="M27" s="36"/>
    </row>
    <row r="28" spans="2:15" x14ac:dyDescent="0.25">
      <c r="B28" s="33"/>
      <c r="C28" s="78"/>
      <c r="D28" s="79"/>
      <c r="E28" s="20" t="s">
        <v>107</v>
      </c>
      <c r="H28" s="18"/>
      <c r="I28" s="34"/>
      <c r="J28" s="35"/>
      <c r="K28" s="35"/>
      <c r="L28" s="35"/>
      <c r="M28" s="36"/>
    </row>
    <row r="29" spans="2:15" x14ac:dyDescent="0.25">
      <c r="B29" s="33"/>
      <c r="C29" s="78"/>
      <c r="D29" s="79"/>
      <c r="E29" s="20" t="s">
        <v>108</v>
      </c>
      <c r="H29" s="20"/>
      <c r="I29" s="35"/>
      <c r="J29" s="35"/>
      <c r="K29" s="35"/>
      <c r="L29" s="35"/>
      <c r="M29" s="36"/>
    </row>
    <row r="30" spans="2:15" x14ac:dyDescent="0.25">
      <c r="B30" s="33"/>
      <c r="C30" s="78"/>
      <c r="D30" s="79"/>
      <c r="E30" s="20"/>
      <c r="H30" s="18"/>
      <c r="I30" s="35"/>
      <c r="J30" s="35"/>
      <c r="K30" s="35"/>
      <c r="L30" s="35"/>
      <c r="M30" s="36"/>
    </row>
    <row r="31" spans="2:15" x14ac:dyDescent="0.25">
      <c r="B31" s="33"/>
      <c r="C31" s="64"/>
      <c r="D31" s="65"/>
      <c r="E31" s="20" t="s">
        <v>109</v>
      </c>
      <c r="H31" s="18"/>
      <c r="I31" s="35"/>
      <c r="J31" s="35"/>
      <c r="K31" s="51"/>
      <c r="L31" s="35"/>
      <c r="M31" s="51"/>
    </row>
    <row r="32" spans="2:15" x14ac:dyDescent="0.25">
      <c r="B32" s="33"/>
      <c r="C32" s="64"/>
      <c r="D32" s="65"/>
      <c r="E32" s="20"/>
      <c r="H32" s="18"/>
      <c r="I32" s="35"/>
      <c r="J32" s="35"/>
      <c r="K32" s="35"/>
      <c r="L32" s="35"/>
      <c r="M32" s="53"/>
    </row>
    <row r="33" spans="2:13" x14ac:dyDescent="0.25">
      <c r="B33" s="33"/>
      <c r="C33" s="84" t="s">
        <v>102</v>
      </c>
      <c r="D33" s="85"/>
      <c r="E33" s="20" t="s">
        <v>103</v>
      </c>
      <c r="H33" s="18"/>
      <c r="I33" s="35">
        <v>2</v>
      </c>
      <c r="J33" s="35" t="s">
        <v>32</v>
      </c>
      <c r="K33" s="35">
        <v>321.19</v>
      </c>
      <c r="L33" s="35"/>
      <c r="M33" s="60">
        <f>I33*K33</f>
        <v>642.38</v>
      </c>
    </row>
    <row r="34" spans="2:13" x14ac:dyDescent="0.25">
      <c r="B34" s="33"/>
      <c r="C34" s="64"/>
      <c r="D34" s="65"/>
      <c r="E34" s="20"/>
      <c r="H34" s="18"/>
      <c r="I34" s="35"/>
      <c r="J34" s="35"/>
      <c r="K34" s="35"/>
      <c r="L34" s="35"/>
      <c r="M34" s="60"/>
    </row>
    <row r="35" spans="2:13" x14ac:dyDescent="0.25">
      <c r="B35" s="33"/>
      <c r="C35" s="64"/>
      <c r="D35" s="65"/>
      <c r="E35" s="20"/>
      <c r="H35" s="18"/>
      <c r="I35" s="35"/>
      <c r="J35" s="35"/>
      <c r="K35" s="35"/>
      <c r="L35" s="35"/>
      <c r="M35" s="60"/>
    </row>
    <row r="36" spans="2:13" x14ac:dyDescent="0.25">
      <c r="B36" s="33"/>
      <c r="C36" s="64"/>
      <c r="D36" s="65"/>
      <c r="E36" s="20"/>
      <c r="H36" s="18"/>
      <c r="I36" s="35"/>
      <c r="J36" s="35"/>
      <c r="K36" s="35"/>
      <c r="L36" s="35"/>
      <c r="M36" s="36"/>
    </row>
    <row r="37" spans="2:13" x14ac:dyDescent="0.25">
      <c r="B37" s="33"/>
      <c r="C37" s="64"/>
      <c r="D37" s="65"/>
      <c r="E37" s="20"/>
      <c r="I37" s="35"/>
      <c r="J37" s="35"/>
      <c r="K37" s="35"/>
      <c r="L37" s="35"/>
      <c r="M37" s="36"/>
    </row>
    <row r="38" spans="2:13" x14ac:dyDescent="0.25">
      <c r="B38" s="33"/>
      <c r="C38" s="64"/>
      <c r="D38" s="65"/>
      <c r="E38" s="20"/>
      <c r="I38" s="35"/>
      <c r="J38" s="35"/>
      <c r="K38" s="35"/>
      <c r="L38" s="35"/>
      <c r="M38" s="36"/>
    </row>
    <row r="39" spans="2:13" x14ac:dyDescent="0.25">
      <c r="B39" s="33"/>
      <c r="C39" s="78"/>
      <c r="D39" s="79"/>
      <c r="E39" s="20"/>
      <c r="H39" s="18"/>
      <c r="I39" s="35"/>
      <c r="J39" s="35"/>
      <c r="K39" s="35"/>
      <c r="L39" s="35"/>
      <c r="M39" s="36"/>
    </row>
    <row r="40" spans="2:13" x14ac:dyDescent="0.25">
      <c r="B40" s="33"/>
      <c r="C40" s="78"/>
      <c r="D40" s="79"/>
      <c r="E40" s="20"/>
      <c r="H40" s="18"/>
      <c r="I40" s="35"/>
      <c r="J40" s="35"/>
      <c r="K40" s="35"/>
      <c r="L40" s="35"/>
      <c r="M40" s="36"/>
    </row>
    <row r="41" spans="2:13" x14ac:dyDescent="0.25">
      <c r="B41" s="33"/>
      <c r="C41" s="78"/>
      <c r="D41" s="79"/>
      <c r="E41" s="20" t="s">
        <v>95</v>
      </c>
      <c r="F41">
        <v>2</v>
      </c>
      <c r="H41" s="18"/>
      <c r="I41" s="35"/>
      <c r="J41" s="35"/>
      <c r="K41" s="35"/>
      <c r="L41" s="35"/>
      <c r="M41" s="36"/>
    </row>
    <row r="42" spans="2:13" x14ac:dyDescent="0.25">
      <c r="B42" s="33"/>
      <c r="C42" s="78"/>
      <c r="D42" s="79"/>
      <c r="E42" s="20" t="s">
        <v>111</v>
      </c>
      <c r="H42" s="18"/>
      <c r="I42" s="35"/>
      <c r="J42" s="35"/>
      <c r="K42" s="35"/>
      <c r="L42" s="35"/>
      <c r="M42" s="36"/>
    </row>
    <row r="43" spans="2:13" x14ac:dyDescent="0.25">
      <c r="B43" s="33"/>
      <c r="C43" s="78"/>
      <c r="D43" s="79"/>
      <c r="I43" s="35"/>
      <c r="J43" s="35"/>
      <c r="K43" s="35"/>
      <c r="L43" s="35"/>
      <c r="M43" s="36"/>
    </row>
    <row r="44" spans="2:13" x14ac:dyDescent="0.25">
      <c r="B44" s="33"/>
      <c r="C44" s="78"/>
      <c r="D44" s="79"/>
      <c r="I44" s="35"/>
      <c r="J44" s="35"/>
      <c r="K44" s="35"/>
      <c r="L44" s="35"/>
      <c r="M44" s="36"/>
    </row>
    <row r="45" spans="2:13" x14ac:dyDescent="0.25">
      <c r="B45" s="33"/>
      <c r="C45" s="78"/>
      <c r="D45" s="79"/>
      <c r="E45" s="20" t="s">
        <v>84</v>
      </c>
      <c r="H45" s="18"/>
      <c r="I45" s="35"/>
      <c r="J45" s="35"/>
      <c r="K45" s="35"/>
      <c r="L45" s="35"/>
      <c r="M45" s="36"/>
    </row>
    <row r="46" spans="2:13" x14ac:dyDescent="0.25">
      <c r="B46" s="33"/>
      <c r="C46" s="78"/>
      <c r="D46" s="79"/>
      <c r="E46" s="20" t="s">
        <v>83</v>
      </c>
      <c r="H46" s="18"/>
      <c r="I46" s="35"/>
      <c r="J46" s="35"/>
      <c r="K46" s="35"/>
      <c r="L46" s="35"/>
      <c r="M46" s="36"/>
    </row>
    <row r="47" spans="2:13" x14ac:dyDescent="0.25">
      <c r="B47" s="33"/>
      <c r="C47" s="78"/>
      <c r="D47" s="79"/>
      <c r="E47" s="20"/>
      <c r="H47" s="18"/>
      <c r="I47" s="35"/>
      <c r="J47" s="35"/>
      <c r="K47" s="35"/>
      <c r="L47" s="35"/>
      <c r="M47" s="36"/>
    </row>
    <row r="48" spans="2:13" x14ac:dyDescent="0.25">
      <c r="B48" s="33"/>
      <c r="C48" s="78"/>
      <c r="D48" s="79"/>
      <c r="E48" s="20" t="s">
        <v>110</v>
      </c>
      <c r="H48" s="18"/>
      <c r="I48" s="35"/>
      <c r="J48" s="35"/>
      <c r="K48" s="35"/>
      <c r="L48" s="35"/>
      <c r="M48" s="36"/>
    </row>
    <row r="49" spans="2:13" x14ac:dyDescent="0.25">
      <c r="B49" s="33"/>
      <c r="C49" s="78"/>
      <c r="D49" s="79"/>
      <c r="E49" s="20"/>
      <c r="H49" s="18"/>
      <c r="I49" s="35"/>
      <c r="J49" s="35"/>
      <c r="K49" s="35"/>
      <c r="L49" s="35"/>
      <c r="M49" s="36"/>
    </row>
    <row r="50" spans="2:13" x14ac:dyDescent="0.25">
      <c r="B50" s="33"/>
      <c r="C50" s="78"/>
      <c r="D50" s="79"/>
      <c r="E50" s="20"/>
      <c r="H50" s="18"/>
      <c r="I50" s="35"/>
      <c r="J50" s="35"/>
      <c r="K50" s="35"/>
      <c r="L50" s="35"/>
      <c r="M50" s="36"/>
    </row>
    <row r="51" spans="2:13" ht="15.75" thickBot="1" x14ac:dyDescent="0.3">
      <c r="B51" s="37"/>
      <c r="C51" s="86"/>
      <c r="D51" s="87"/>
      <c r="E51" s="38"/>
      <c r="F51" s="39"/>
      <c r="G51" s="39"/>
      <c r="H51" s="40"/>
      <c r="I51" s="41"/>
      <c r="J51" s="41"/>
      <c r="K51" s="41"/>
      <c r="L51" s="41"/>
      <c r="M51" s="42"/>
    </row>
    <row r="52" spans="2:13" ht="16.5" thickTop="1" thickBot="1" x14ac:dyDescent="0.3"/>
    <row r="53" spans="2:13" ht="15.75" thickTop="1" x14ac:dyDescent="0.25">
      <c r="B53" s="43" t="s">
        <v>36</v>
      </c>
      <c r="C53" s="44"/>
      <c r="D53" s="44"/>
      <c r="E53" s="44"/>
      <c r="F53" s="44"/>
      <c r="G53" s="44"/>
      <c r="H53" s="45" t="s">
        <v>37</v>
      </c>
      <c r="I53" s="88"/>
      <c r="J53" s="89"/>
      <c r="K53" s="45" t="s">
        <v>38</v>
      </c>
      <c r="L53" s="45"/>
      <c r="M53" s="46" t="s">
        <v>94</v>
      </c>
    </row>
    <row r="54" spans="2:13" ht="15.75" thickBot="1" x14ac:dyDescent="0.3">
      <c r="B54" s="47"/>
      <c r="C54" s="39"/>
      <c r="D54" s="39"/>
      <c r="E54" s="39"/>
      <c r="F54" s="39"/>
      <c r="G54" s="39"/>
      <c r="H54" s="41" t="s">
        <v>91</v>
      </c>
      <c r="I54" s="38"/>
      <c r="J54" s="40"/>
      <c r="K54" s="48">
        <v>1</v>
      </c>
      <c r="L54" s="41"/>
      <c r="M54" s="61">
        <f>M33+M34</f>
        <v>642.38</v>
      </c>
    </row>
    <row r="55" spans="2:13" ht="15.75" thickTop="1" x14ac:dyDescent="0.25"/>
  </sheetData>
  <mergeCells count="36">
    <mergeCell ref="C50:D50"/>
    <mergeCell ref="C51:D51"/>
    <mergeCell ref="I53:J53"/>
    <mergeCell ref="C44:D44"/>
    <mergeCell ref="C45:D45"/>
    <mergeCell ref="C46:D46"/>
    <mergeCell ref="C47:D47"/>
    <mergeCell ref="C48:D48"/>
    <mergeCell ref="C49:D49"/>
    <mergeCell ref="C43:D43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31:D31"/>
    <mergeCell ref="B12:C12"/>
    <mergeCell ref="B13:C13"/>
    <mergeCell ref="H13:M13"/>
    <mergeCell ref="H14:M14"/>
    <mergeCell ref="C24:D24"/>
    <mergeCell ref="C25:D25"/>
    <mergeCell ref="C26:D26"/>
    <mergeCell ref="C27:D27"/>
    <mergeCell ref="C28:D28"/>
    <mergeCell ref="C29:D29"/>
    <mergeCell ref="C30:D30"/>
    <mergeCell ref="B14:D14"/>
    <mergeCell ref="B15:D15"/>
    <mergeCell ref="C21:D21"/>
  </mergeCells>
  <pageMargins left="0.11811023622047245" right="0.11811023622047245" top="0.35433070866141736" bottom="0.35433070866141736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20151130-TC-2693-BQ_AQUARIS_M5_</vt:lpstr>
      <vt:lpstr>Albaran</vt:lpstr>
      <vt:lpstr>Albaran!Área_de_impresión</vt:lpstr>
      <vt:lpstr>articulos</vt:lpstr>
      <vt:lpstr>tecuidamos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López Rojo</dc:creator>
  <cp:lastModifiedBy>Maria Perez</cp:lastModifiedBy>
  <cp:lastPrinted>2025-08-29T08:43:35Z</cp:lastPrinted>
  <dcterms:created xsi:type="dcterms:W3CDTF">2015-12-21T15:55:27Z</dcterms:created>
  <dcterms:modified xsi:type="dcterms:W3CDTF">2025-11-05T07:34:20Z</dcterms:modified>
</cp:coreProperties>
</file>